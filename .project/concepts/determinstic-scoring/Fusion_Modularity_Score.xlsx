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core Calculator" sheetId="2" state="visible" r:id="rId4"/>
    <sheet name="Driver Lookups" sheetId="3" state="visible" r:id="rId5"/>
    <sheet name="Worked Examples" sheetId="4" state="visible" r:id="rId6"/>
    <sheet name="Concept Multipliers" sheetId="5" state="visible" r:id="rId7"/>
  </sheets>
  <definedNames>
    <definedName function="false" hidden="false" name="BandTable" vbProcedure="false">'Concept Multipliers'!$A$21:$C$25</definedName>
    <definedName function="false" hidden="false" name="FamilyNames" vbProcedure="false">'Concept Multipliers'!$A$5:$A$15</definedName>
    <definedName function="false" hidden="false" name="FamilyTable" vbProcedure="false">'Concept Multipliers'!$A$5:$K$15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<sst xmlns="http://schemas.openxmlformats.org/spreadsheetml/2006/main" count="227" uniqueCount="200">
  <si>
    <t xml:space="preserve">Fusion Modularity Score (1–5)</t>
  </si>
  <si>
    <t xml:space="preserve">PURPOSE</t>
  </si>
  <si>
    <t xml:space="preserve">This tool produces a 1–5 modularity score for any fusion concept. The score approximates the share of NOAK (Nth-of-a-kind) plant value that can plausibly be built in a factory rather than stick-built on site.</t>
  </si>
  <si>
    <t xml:space="preserve">SCORE → % OFFSITE MAPPING</t>
  </si>
  <si>
    <t xml:space="preserve">Score</t>
  </si>
  <si>
    <t xml:space="preserve">Approx. % of NOAK plant built offsite</t>
  </si>
  <si>
    <t xml:space="preserve">5  — Highly modular (SMR-like)</t>
  </si>
  <si>
    <t xml:space="preserve">≥ 80% offsite</t>
  </si>
  <si>
    <t xml:space="preserve">4  — Mostly modular</t>
  </si>
  <si>
    <t xml:space="preserve">60–80% offsite</t>
  </si>
  <si>
    <t xml:space="preserve">3  — Hybrid</t>
  </si>
  <si>
    <t xml:space="preserve">40–60% offsite</t>
  </si>
  <si>
    <t xml:space="preserve">2  — Mostly stick-built</t>
  </si>
  <si>
    <t xml:space="preserve">20–40% offsite</t>
  </si>
  <si>
    <t xml:space="preserve">1  — One-off megaproject (ITER-like)</t>
  </si>
  <si>
    <t xml:space="preserve">&lt; 20% offsite</t>
  </si>
  <si>
    <t xml:space="preserve">HOW IT WORKS</t>
  </si>
  <si>
    <t xml:space="preserve">1. The plant is decomposed into seven subsystems (see Driver Lookups tab). Each subsystem has a 1–5 modularity rating based on lookup-table criteria you select from drop-downs.</t>
  </si>
  <si>
    <t xml:space="preserve">2. Subsystems are weighted by their typical share of total plant capex. Weights are concept-family-dependent: a laser IFE plant is ~40% driver, a tokamak is ~25–30% magnets, etc.</t>
  </si>
  <si>
    <t xml:space="preserve">3. A concept-family multiplier applies an inherent-modularity adjustment (e.g. stellarator coils are penalized relative to tokamak coils because non-planar HTS coil sets resist serial factory production).</t>
  </si>
  <si>
    <t xml:space="preserve">4. The weighted average is mapped to 1–5 via the band table on the Score Calculator tab.</t>
  </si>
  <si>
    <t xml:space="preserve">WORKFLOW</t>
  </si>
  <si>
    <t xml:space="preserve">• Open the 'Score Calculator' tab.</t>
  </si>
  <si>
    <t xml:space="preserve">• Pick a concept family in the yellow cell — weights and the family multiplier load automatically.</t>
  </si>
  <si>
    <t xml:space="preserve">• For each subsystem, pick the row from the lookup table that best matches the design.</t>
  </si>
  <si>
    <t xml:space="preserve">• The final score appears at the bottom.</t>
  </si>
  <si>
    <t xml:space="preserve">• See 'Worked Examples' for six pre-scored reference concepts.</t>
  </si>
  <si>
    <t xml:space="preserve">LEGEND</t>
  </si>
  <si>
    <t xml:space="preserve">  Blue text  =  user input</t>
  </si>
  <si>
    <t xml:space="preserve">  Black text =  calculated</t>
  </si>
  <si>
    <t xml:space="preserve">  Green text =  cross-sheet reference</t>
  </si>
  <si>
    <t xml:space="preserve">  Yellow fill = a cell that needs your input</t>
  </si>
  <si>
    <t xml:space="preserve">Modularity Score Calculator</t>
  </si>
  <si>
    <t xml:space="preserve">Yellow cells = your input. Black = calculated. Green = pulled from reference tables.</t>
  </si>
  <si>
    <t xml:space="preserve">Concept Family:</t>
  </si>
  <si>
    <t xml:space="preserve">HTS Compact Tokamak</t>
  </si>
  <si>
    <t xml:space="preserve">Family Multiplier:</t>
  </si>
  <si>
    <t xml:space="preserve">#</t>
  </si>
  <si>
    <t xml:space="preserve">Subsystem</t>
  </si>
  <si>
    <t xml:space="preserve">Your Score (1–5)</t>
  </si>
  <si>
    <t xml:space="preserve">Weight (auto)</t>
  </si>
  <si>
    <t xml:space="preserve">Weighted</t>
  </si>
  <si>
    <t xml:space="preserve">Core / Vessel / Target chamber</t>
  </si>
  <si>
    <t xml:space="preserve">See 'Driver Lookups' tab for criteria</t>
  </si>
  <si>
    <t xml:space="preserve">Driver / Coils / Pulsed-power</t>
  </si>
  <si>
    <t xml:space="preserve">Blanket &amp; First Wall</t>
  </si>
  <si>
    <t xml:space="preserve">Power Conversion / BOP</t>
  </si>
  <si>
    <t xml:space="preserve">Fuel Cycle / Tritium Plant</t>
  </si>
  <si>
    <t xml:space="preserve">Auxiliaries (H&amp;CD, cryo, vacuum)</t>
  </si>
  <si>
    <t xml:space="preserve">Civil / Building / Shielding</t>
  </si>
  <si>
    <t xml:space="preserve">Σ Weighted (raw)</t>
  </si>
  <si>
    <t xml:space="preserve">× Family Multiplier  →  Adjusted Avg</t>
  </si>
  <si>
    <t xml:space="preserve">FINAL MODULARITY SCORE</t>
  </si>
  <si>
    <t xml:space="preserve">Approx % NOAK plant built offsite</t>
  </si>
  <si>
    <t xml:space="preserve">Rule-Based Lookup Tables — How Each Subsystem is Scored 1–5</t>
  </si>
  <si>
    <t xml:space="preserve">1. CONFINEMENT / CORE STRUCTURE  (vacuum vessel, central column, target chamber)</t>
  </si>
  <si>
    <t xml:space="preserve">Modularity Criterion</t>
  </si>
  <si>
    <t xml:space="preserve">Sealed cartridge — entire core unit shipped intact from factory; site swaps it</t>
  </si>
  <si>
    <t xml:space="preserve">Helion-style FRC modules; small Z-pinch cartridges; some compact mirror cells</t>
  </si>
  <si>
    <t xml:space="preserve">Pre-fabricated sectors (2–6 pieces) field-welded; each sector road-transportable</t>
  </si>
  <si>
    <t xml:space="preserve">Compact tokamak (e.g. ARC-class) with sector-replacement architecture</t>
  </si>
  <si>
    <t xml:space="preserve">Pre-fab sectors but require on-site precision alignment / sub-mm metrology</t>
  </si>
  <si>
    <t xml:space="preserve">MAST-U-class spherical tokamak; mid-size tokamak vessel</t>
  </si>
  <si>
    <t xml:space="preserve">Site-fabricated vessel; large welded sections done in temporary on-site shop</t>
  </si>
  <si>
    <t xml:space="preserve">Wendelstein-7X-class stellarator vessel; large tokamak</t>
  </si>
  <si>
    <t xml:space="preserve">Bespoke, in-situ stick-built; specialist trades on site for years</t>
  </si>
  <si>
    <t xml:space="preserve">ITER vacuum vessel; NIF target chamber</t>
  </si>
  <si>
    <t xml:space="preserve">2. CONFINEMENT FIELD / DRIVER  (magnets for MCF; laser/IFE driver; pulsed-power for MIF/Z-pinch)</t>
  </si>
  <si>
    <t xml:space="preserve">Driver is a serial-produced, swappable unit (laser beamline brick, magnet cassette, pulsed-power module)</t>
  </si>
  <si>
    <t xml:space="preserve">DPSSL beamlines (LIFE/Inertia); modular pulsed-power 'bricks' (Helion, Pacific Fusion)</t>
  </si>
  <si>
    <t xml:space="preserve">Modular HTS coils with planar/axisymmetric geometry; factory-wound, site-stacked</t>
  </si>
  <si>
    <t xml:space="preserve">CFS SPARC/ARC TF coils; planar tokamak HTS sets</t>
  </si>
  <si>
    <t xml:space="preserve">Modular but field-assembled with tight tolerances; per-unit calibration</t>
  </si>
  <si>
    <t xml:space="preserve">Modular stellarator HTS coils (Type One Energy approach); large copper TF coils</t>
  </si>
  <si>
    <t xml:space="preserve">Few large bespoke units; site-wound or site-assembled with custom tooling</t>
  </si>
  <si>
    <t xml:space="preserve">ITER TF coils; W7-X non-planar coils; flashlamp NIF-style amplifiers</t>
  </si>
  <si>
    <t xml:space="preserve">Single bespoke installation built in place over years</t>
  </si>
  <si>
    <t xml:space="preserve">ITER central solenoid stack-up; NIF master oscillator + switchyard</t>
  </si>
  <si>
    <t xml:space="preserve">3. BLANKET &amp; FIRST WALL (tritium breeding, neutron capture, heat extraction)</t>
  </si>
  <si>
    <t xml:space="preserve">Liquid breeder pumped through simple modular shells; uniform geometry, identical cassettes</t>
  </si>
  <si>
    <t xml:space="preserve">FLiBe immersion blanket (ARC); molten-salt loops with off-the-shelf piping</t>
  </si>
  <si>
    <t xml:space="preserve">Modular blanket cassettes of one or two SKUs; factory-built, hot-cell swapped</t>
  </si>
  <si>
    <t xml:space="preserve">Helium-cooled pebble-bed (HCPB) modular blanket; standard tokamak cassette design</t>
  </si>
  <si>
    <t xml:space="preserve">Multiple cassette SKUs; non-uniform shapes around ports &amp; divertor</t>
  </si>
  <si>
    <t xml:space="preserve">DEMO-class segmented blanket; mixed-geometry sectors</t>
  </si>
  <si>
    <t xml:space="preserve">Few-of-a-kind blanket geometry conforming to 3D plasma boundary</t>
  </si>
  <si>
    <t xml:space="preserve">Stellarator blanket conforming to twisted plasma column</t>
  </si>
  <si>
    <t xml:space="preserve">Custom blanket built in place; not designed for replacement on plant timescales</t>
  </si>
  <si>
    <t xml:space="preserve">First-generation experimental blanket modules; one-off test articles</t>
  </si>
  <si>
    <t xml:space="preserve">4. POWER CONVERSION / BOP  (heat exchangers, turbine, generator, cooling)</t>
  </si>
  <si>
    <t xml:space="preserve">Catalog SMR-style steam or sCO2 skid; entirely vendor-modular</t>
  </si>
  <si>
    <t xml:space="preserve">NuScale-style turbine island; standard 100–300 MW sCO2 block</t>
  </si>
  <si>
    <t xml:space="preserve">Standard fission-class BOP with minor fusion-specific mods (tritium permeation barriers)</t>
  </si>
  <si>
    <t xml:space="preserve">Adapted Gen-III+ steam cycle; standard helium-Brayton skids</t>
  </si>
  <si>
    <t xml:space="preserve">Standard BOP components but custom integration for pulsed thermal load</t>
  </si>
  <si>
    <t xml:space="preserve">Tokamak with thermal-storage buffer; pulsed→steady heat sink</t>
  </si>
  <si>
    <t xml:space="preserve">Custom high-temperature loop (liquid metal, molten salt) with bespoke HX</t>
  </si>
  <si>
    <t xml:space="preserve">Liquid-Pb-Li loop with custom IHX; high-temp He-Brayton with custom turbomachinery</t>
  </si>
  <si>
    <t xml:space="preserve">Direct energy conversion or bespoke MHD/heat path with no analog</t>
  </si>
  <si>
    <t xml:space="preserve">Direct-conversion FRC (first-gen); novel MHD generator</t>
  </si>
  <si>
    <t xml:space="preserve">5. FUEL CYCLE &amp; TRITIUM PLANT</t>
  </si>
  <si>
    <t xml:space="preserve">Closed cartridge; no on-site tritium processing beyond polishing (aneutronic/D-D)</t>
  </si>
  <si>
    <t xml:space="preserve">p-B11 concepts (TAE-class); D-He3 (Helion); D-D demonstrators</t>
  </si>
  <si>
    <t xml:space="preserve">Skid-mounted, vendor-supplied tritium plant; standardized across fleet</t>
  </si>
  <si>
    <t xml:space="preserve">Future commercialized tritium plants; Kyoto-Fusioneering-style modular T-plant</t>
  </si>
  <si>
    <t xml:space="preserve">Modular tritium plant but plant-specific permitting/integration</t>
  </si>
  <si>
    <t xml:space="preserve">ARC/STEP-class outer fuel cycle modules</t>
  </si>
  <si>
    <t xml:space="preserve">Custom T-plant scaled to plant size; significant site engineering</t>
  </si>
  <si>
    <t xml:space="preserve">DEMO-class tritium plant</t>
  </si>
  <si>
    <t xml:space="preserve">ITER-class one-off tritium plant</t>
  </si>
  <si>
    <t xml:space="preserve">ITER tritium plant</t>
  </si>
  <si>
    <t xml:space="preserve">6. AUXILIARIES  (heating &amp; current drive, cryogenics, vacuum, control)</t>
  </si>
  <si>
    <t xml:space="preserve">Off-the-shelf rack-mounted systems; cryo-coolers in lieu of cryoplants</t>
  </si>
  <si>
    <t xml:space="preserve">Compact mirror with NBI from catalog; conduction-cooled HTS systems</t>
  </si>
  <si>
    <t xml:space="preserve">Modular gyrotron / NBI / ICRH skids; standard cryoplant modules</t>
  </si>
  <si>
    <t xml:space="preserve">Standard 1-MW gyrotron units; modular He refrigeration trains</t>
  </si>
  <si>
    <t xml:space="preserve">Mix of modular and bespoke aux systems; integration is plant-specific</t>
  </si>
  <si>
    <t xml:space="preserve">ARC-class auxiliaries</t>
  </si>
  <si>
    <t xml:space="preserve">Custom heating systems sized to a unique plasma; large bespoke cryoplant</t>
  </si>
  <si>
    <t xml:space="preserve">ITER NBI; ITER cryoplant</t>
  </si>
  <si>
    <t xml:space="preserve">Auxiliaries dominate site-construction footprint; experimental-class</t>
  </si>
  <si>
    <t xml:space="preserve">JET, ITER, NIF auxiliary halls</t>
  </si>
  <si>
    <t xml:space="preserve">7. CIVIL / BUILDING / SHIELDING</t>
  </si>
  <si>
    <t xml:space="preserve">Compact footprint, low neutron load, civil work is a slab + steel building</t>
  </si>
  <si>
    <t xml:space="preserve">Aneutronic (p-B11) concept; small D-He3</t>
  </si>
  <si>
    <t xml:space="preserve">Standardized concrete bioshield in factory-cast blocks; modular hot cell</t>
  </si>
  <si>
    <t xml:space="preserve">Compact DT tokamak (~200 MWe) with cast-block shielding</t>
  </si>
  <si>
    <t xml:space="preserve">Significant in-situ concrete pour but standardized formwork across fleet</t>
  </si>
  <si>
    <t xml:space="preserve">STEP-class DEMO civil approach</t>
  </si>
  <si>
    <t xml:space="preserve">Large bespoke shielding building, neutron streaming requires custom geometry</t>
  </si>
  <si>
    <t xml:space="preserve">Large tokamak; stellarator with complex shield geometry</t>
  </si>
  <si>
    <t xml:space="preserve">Massive bespoke civil works (multi-year, multi-billion-$)</t>
  </si>
  <si>
    <t xml:space="preserve">ITER tokamak complex; NIF building</t>
  </si>
  <si>
    <t xml:space="preserve">Worked Examples — Six Reference Concepts Pre-Scored</t>
  </si>
  <si>
    <t xml:space="preserve">Each row applies the same rule-based scoring to a representative concept. These are illustrative, not endorsements; they show how plant-level characteristics map to a score.</t>
  </si>
  <si>
    <t xml:space="preserve">Concept</t>
  </si>
  <si>
    <t xml:space="preserve">Family</t>
  </si>
  <si>
    <t xml:space="preserve">S1 Core</t>
  </si>
  <si>
    <t xml:space="preserve">S2 Driver/Coils</t>
  </si>
  <si>
    <t xml:space="preserve">S3 Blanket</t>
  </si>
  <si>
    <t xml:space="preserve">S4 BOP</t>
  </si>
  <si>
    <t xml:space="preserve">S5 Fuel Cycle</t>
  </si>
  <si>
    <t xml:space="preserve">S6 Aux</t>
  </si>
  <si>
    <t xml:space="preserve">S7 Civil</t>
  </si>
  <si>
    <t xml:space="preserve">Final Score</t>
  </si>
  <si>
    <t xml:space="preserve">Commentary</t>
  </si>
  <si>
    <t xml:space="preserve">ITER (reference one-off)</t>
  </si>
  <si>
    <t xml:space="preserve">Conventional Large Tokamak (LTS)</t>
  </si>
  <si>
    <t xml:space="preserve">Bespoke vessel, custom LTS coils, one-of-a-kind T-plant, multi-year civil. Almost everything site-built.</t>
  </si>
  <si>
    <t xml:space="preserve">NIF (flashlamp ICF, existing)</t>
  </si>
  <si>
    <t xml:space="preserve">Laser IFE — Flashlamp / KrF gas</t>
  </si>
  <si>
    <t xml:space="preserve">Massive bespoke flashlamp halls and custom target chamber; tritium 'plant' is trivial (no breeding for ICF demo). Civil is huge.</t>
  </si>
  <si>
    <t xml:space="preserve">CFS ARC-class (HTS compact tokamak)</t>
  </si>
  <si>
    <t xml:space="preserve">HTS planar TF coils factory-wound; sector-replacement vessel; modular FLiBe blanket; cast-block shielding.</t>
  </si>
  <si>
    <t xml:space="preserve">Type One Energy Stellarator (HTS)</t>
  </si>
  <si>
    <t xml:space="preserve">Stellarator (HTS, optimized)</t>
  </si>
  <si>
    <t xml:space="preserve">HTS-simpler stellarator coils help, but conforming blanket and 3D vessel still need site work. Family penalty applies.</t>
  </si>
  <si>
    <t xml:space="preserve">Helion (FRC, D-He3, pulsed)</t>
  </si>
  <si>
    <t xml:space="preserve">Field-Reversed Configuration (FRC)</t>
  </si>
  <si>
    <t xml:space="preserve">Cartridge-style FRC, pulsed-power 'bricks', D-He3 so no breeding blanket or tritium plant ⇒ very high modularity ceiling.</t>
  </si>
  <si>
    <t xml:space="preserve">Inertia / LIFE-class (DPSSL IFE)</t>
  </si>
  <si>
    <t xml:space="preserve">Laser IFE — DPSSL</t>
  </si>
  <si>
    <t xml:space="preserve">DPSSL beamlines as serial-produced bricks; modular target factory; ICF chamber is the largest stick-built piece.</t>
  </si>
  <si>
    <t xml:space="preserve">Concept-Family Inherent-Modularity Multipliers and Capex Weights</t>
  </si>
  <si>
    <t xml:space="preserve">Why a multiplier? Two plants with identical subsystem scores can still differ in inherent modularity. A stellarator's non-planar coil topology, for instance, fundamentally resists serial factory production in a way that planar tokamak coils do not. The multiplier captures that. Weights reflect the typical capex share of each subsystem in an NOAK plant of that family.</t>
  </si>
  <si>
    <t xml:space="preserve">Concept Family</t>
  </si>
  <si>
    <t xml:space="preserve">Multiplier</t>
  </si>
  <si>
    <t xml:space="preserve">Rationale</t>
  </si>
  <si>
    <t xml:space="preserve">W1 Core</t>
  </si>
  <si>
    <t xml:space="preserve">W2 Driver/Coils</t>
  </si>
  <si>
    <t xml:space="preserve">W3 Blanket/FW</t>
  </si>
  <si>
    <t xml:space="preserve">W4 BOP</t>
  </si>
  <si>
    <t xml:space="preserve">W5 Fuel Cycle</t>
  </si>
  <si>
    <t xml:space="preserve">W6 Aux</t>
  </si>
  <si>
    <t xml:space="preserve">W7 Civil</t>
  </si>
  <si>
    <t xml:space="preserve">Σ weights</t>
  </si>
  <si>
    <t xml:space="preserve">Baseline. Planar/D-shaped HTS coils are inherently amenable to factory winding and modular stacking. Sector-based vessel replacement is design-feasible.</t>
  </si>
  <si>
    <t xml:space="preserve">Larger size + LTS coil cryostat integration + ITER-scale tritium plant push more work onsite.</t>
  </si>
  <si>
    <t xml:space="preserve">Spherical Tokamak</t>
  </si>
  <si>
    <t xml:space="preserve">Compact form factor helps, but tight central column metrology and high heat flux components require precision site work.</t>
  </si>
  <si>
    <t xml:space="preserve">Non-planar 3D coils &amp; conforming blanket geometry are the canonical anti-modularity case; mitigated by HTS simpler coils + permanent-magnet schemes but still penalized.</t>
  </si>
  <si>
    <t xml:space="preserve">Linear geometry, compact, often pulsed pulsed-power; lends itself to cartridge-style serial production.</t>
  </si>
  <si>
    <t xml:space="preserve">Magnetic Mirror (tandem/axisymmetric)</t>
  </si>
  <si>
    <t xml:space="preserve">Linear, axisymmetric, modular coil &amp; cell architecture; cells are repeatable units.</t>
  </si>
  <si>
    <t xml:space="preserve">Z-Pinch / Sheared-Flow Stabilized</t>
  </si>
  <si>
    <t xml:space="preserve">No magnets in the usual sense; pulsed-power bricks are inherently modular; load assemblies are consumable.</t>
  </si>
  <si>
    <t xml:space="preserve">Diode-pumped beamlines are designed as serial, factory-built bricks; target factory is a separate modular facility.</t>
  </si>
  <si>
    <t xml:space="preserve">NIF-style flashlamp halls and excimer/KrF gas lasers are large, bespoke and not serial-producible at NOAK scale.</t>
  </si>
  <si>
    <t xml:space="preserve">Magneto-Inertial Fusion (MIF) / MagLIF</t>
  </si>
  <si>
    <t xml:space="preserve">Pulsed-power modular; target/load assembly is consumable; but liner/standoff hardware adds site integration.</t>
  </si>
  <si>
    <t xml:space="preserve">Aneutronic (p-B11, D-He3) — general</t>
  </si>
  <si>
    <t xml:space="preserve">No tritium plant, no breeding blanket, minimal shielding ⇒ structurally more of the plant is BOP &amp; driver, which favor modularity.</t>
  </si>
  <si>
    <t xml:space="preserve">Score → % Offsite Band Mapping</t>
  </si>
  <si>
    <t xml:space="preserve">Weighted Avg ≥</t>
  </si>
  <si>
    <t xml:space="preserve">Approx % Offsite</t>
  </si>
  <si>
    <t xml:space="preserve">≥ 80%</t>
  </si>
  <si>
    <t xml:space="preserve">60–80%</t>
  </si>
  <si>
    <t xml:space="preserve">40–60%</t>
  </si>
  <si>
    <t xml:space="preserve">20–40%</t>
  </si>
  <si>
    <t xml:space="preserve">&lt; 20%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</si>
</sst>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5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/>
    </row>
    <row r="4" customFormat="false" ht="46.25" hidden="false" customHeight="false" outlineLevel="0" collapsed="false">
      <c r="A4" s="2" t="s">
        <v>2</v>
      </c>
      <c r="B4" s="2"/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3" t="s">
        <v>3</v>
      </c>
      <c r="B6" s="2"/>
    </row>
    <row r="7" customFormat="false" ht="15" hidden="false" customHeight="false" outlineLevel="0" collapsed="false">
      <c r="A7" s="2" t="s">
        <v>4</v>
      </c>
      <c r="B7" s="2" t="s">
        <v>5</v>
      </c>
    </row>
    <row r="8" customFormat="false" ht="15" hidden="false" customHeight="false" outlineLevel="0" collapsed="false">
      <c r="A8" s="2" t="s">
        <v>6</v>
      </c>
      <c r="B8" s="2" t="s">
        <v>7</v>
      </c>
    </row>
    <row r="9" customFormat="false" ht="15" hidden="false" customHeight="false" outlineLevel="0" collapsed="false">
      <c r="A9" s="2" t="s">
        <v>8</v>
      </c>
      <c r="B9" s="2" t="s">
        <v>9</v>
      </c>
    </row>
    <row r="10" customFormat="false" ht="15" hidden="false" customHeight="false" outlineLevel="0" collapsed="false">
      <c r="A10" s="2" t="s">
        <v>10</v>
      </c>
      <c r="B10" s="2" t="s">
        <v>11</v>
      </c>
    </row>
    <row r="11" customFormat="false" ht="15" hidden="false" customHeight="false" outlineLevel="0" collapsed="false">
      <c r="A11" s="2" t="s">
        <v>12</v>
      </c>
      <c r="B11" s="2" t="s">
        <v>13</v>
      </c>
    </row>
    <row r="12" customFormat="false" ht="15" hidden="false" customHeight="false" outlineLevel="0" collapsed="false">
      <c r="A12" s="2" t="s">
        <v>14</v>
      </c>
      <c r="B12" s="2" t="s">
        <v>15</v>
      </c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3" t="s">
        <v>16</v>
      </c>
      <c r="B14" s="2"/>
    </row>
    <row r="15" customFormat="false" ht="35.05" hidden="false" customHeight="false" outlineLevel="0" collapsed="false">
      <c r="A15" s="2" t="s">
        <v>17</v>
      </c>
      <c r="B15" s="2"/>
    </row>
    <row r="16" customFormat="false" ht="35.05" hidden="false" customHeight="false" outlineLevel="0" collapsed="false">
      <c r="A16" s="2" t="s">
        <v>18</v>
      </c>
      <c r="B16" s="2"/>
    </row>
    <row r="17" customFormat="false" ht="46.25" hidden="false" customHeight="false" outlineLevel="0" collapsed="false">
      <c r="A17" s="2" t="s">
        <v>19</v>
      </c>
      <c r="B17" s="2"/>
    </row>
    <row r="18" customFormat="false" ht="23.85" hidden="false" customHeight="false" outlineLevel="0" collapsed="false">
      <c r="A18" s="2" t="s">
        <v>20</v>
      </c>
      <c r="B18" s="2"/>
    </row>
    <row r="19" customFormat="false" ht="15" hidden="false" customHeight="false" outlineLevel="0" collapsed="false">
      <c r="A19" s="2"/>
      <c r="B19" s="2"/>
    </row>
    <row r="20" customFormat="false" ht="15" hidden="false" customHeight="false" outlineLevel="0" collapsed="false">
      <c r="A20" s="2" t="s">
        <v>21</v>
      </c>
      <c r="B20" s="2"/>
    </row>
    <row r="21" customFormat="false" ht="15" hidden="false" customHeight="false" outlineLevel="0" collapsed="false">
      <c r="A21" s="3" t="s">
        <v>22</v>
      </c>
      <c r="B21" s="2"/>
    </row>
    <row r="22" customFormat="false" ht="23.85" hidden="false" customHeight="false" outlineLevel="0" collapsed="false">
      <c r="A22" s="2" t="s">
        <v>23</v>
      </c>
      <c r="B22" s="2"/>
    </row>
    <row r="23" customFormat="false" ht="23.85" hidden="false" customHeight="false" outlineLevel="0" collapsed="false">
      <c r="A23" s="2" t="s">
        <v>24</v>
      </c>
      <c r="B23" s="2"/>
    </row>
    <row r="24" customFormat="false" ht="15" hidden="false" customHeight="false" outlineLevel="0" collapsed="false">
      <c r="A24" s="2" t="s">
        <v>25</v>
      </c>
      <c r="B24" s="2"/>
    </row>
    <row r="25" customFormat="false" ht="15" hidden="false" customHeight="false" outlineLevel="0" collapsed="false">
      <c r="A25" s="2" t="s">
        <v>26</v>
      </c>
      <c r="B25" s="2"/>
    </row>
    <row r="26" customFormat="false" ht="15" hidden="false" customHeight="false" outlineLevel="0" collapsed="false">
      <c r="A26" s="2"/>
      <c r="B26" s="2"/>
    </row>
    <row r="27" customFormat="false" ht="15" hidden="false" customHeight="false" outlineLevel="0" collapsed="false">
      <c r="A27" s="2" t="s">
        <v>27</v>
      </c>
      <c r="B27" s="2"/>
    </row>
    <row r="28" customFormat="false" ht="15" hidden="false" customHeight="false" outlineLevel="0" collapsed="false">
      <c r="A28" s="3" t="s">
        <v>28</v>
      </c>
      <c r="B28" s="2"/>
    </row>
    <row r="29" customFormat="false" ht="15" hidden="false" customHeight="false" outlineLevel="0" collapsed="false">
      <c r="A29" s="2" t="s">
        <v>29</v>
      </c>
      <c r="B29" s="2"/>
    </row>
    <row r="30" customFormat="false" ht="15" hidden="false" customHeight="false" outlineLevel="0" collapsed="false">
      <c r="A30" s="2" t="s">
        <v>30</v>
      </c>
      <c r="B30" s="2"/>
    </row>
    <row r="31" customFormat="false" ht="15" hidden="false" customHeight="false" outlineLevel="0" collapsed="false">
      <c r="A31" s="2" t="s">
        <v>31</v>
      </c>
      <c r="B31" s="2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32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4" t="s">
        <v>33</v>
      </c>
      <c r="B2" s="4"/>
      <c r="C2" s="4"/>
      <c r="D2" s="4"/>
      <c r="E2" s="4"/>
      <c r="F2" s="4"/>
    </row>
    <row r="4" customFormat="false" ht="15" hidden="false" customHeight="false" outlineLevel="0" collapsed="false">
      <c r="A4" s="5" t="s">
        <v>34</v>
      </c>
      <c r="B4" s="6" t="s">
        <v>35</v>
      </c>
      <c r="C4" s="6"/>
      <c r="D4" s="6"/>
    </row>
    <row r="5" customFormat="false" ht="15" hidden="false" customHeight="false" outlineLevel="0" collapsed="false">
      <c r="A5" s="5" t="s">
        <v>36</v>
      </c>
      <c r="B5" s="7" t="n">
        <f aca="false">VLOOKUP(B4,FamilyTable,2,FALSE())</f>
        <v>1</v>
      </c>
    </row>
    <row r="7" customFormat="false" ht="15" hidden="false" customHeight="false" outlineLevel="0" collapsed="false">
      <c r="A7" s="8" t="s">
        <v>37</v>
      </c>
      <c r="B7" s="8" t="s">
        <v>38</v>
      </c>
      <c r="C7" s="8" t="s">
        <v>39</v>
      </c>
      <c r="D7" s="8" t="s">
        <v>40</v>
      </c>
      <c r="E7" s="8" t="s">
        <v>41</v>
      </c>
    </row>
    <row r="8" customFormat="false" ht="15" hidden="false" customHeight="false" outlineLevel="0" collapsed="false">
      <c r="A8" s="9" t="n">
        <v>1</v>
      </c>
      <c r="B8" s="10" t="s">
        <v>42</v>
      </c>
      <c r="C8" s="11" t="n">
        <v>1</v>
      </c>
      <c r="D8" s="12" t="n">
        <f aca="false">VLOOKUP($B$4,FamilyTable,4,FALSE())</f>
        <v>0.18</v>
      </c>
      <c r="E8" s="13" t="n">
        <f aca="false">C8*D8</f>
        <v>0.18</v>
      </c>
      <c r="F8" s="14" t="s">
        <v>43</v>
      </c>
    </row>
    <row r="9" customFormat="false" ht="15" hidden="false" customHeight="false" outlineLevel="0" collapsed="false">
      <c r="A9" s="9" t="n">
        <v>2</v>
      </c>
      <c r="B9" s="10" t="s">
        <v>44</v>
      </c>
      <c r="C9" s="11" t="n">
        <v>1</v>
      </c>
      <c r="D9" s="12" t="n">
        <f aca="false">VLOOKUP($B$4,FamilyTable,5,FALSE())</f>
        <v>0.28</v>
      </c>
      <c r="E9" s="13" t="n">
        <f aca="false">C9*D9</f>
        <v>0.28</v>
      </c>
      <c r="F9" s="14" t="s">
        <v>43</v>
      </c>
    </row>
    <row r="10" customFormat="false" ht="15" hidden="false" customHeight="false" outlineLevel="0" collapsed="false">
      <c r="A10" s="9" t="n">
        <v>3</v>
      </c>
      <c r="B10" s="10" t="s">
        <v>45</v>
      </c>
      <c r="C10" s="11" t="n">
        <v>1</v>
      </c>
      <c r="D10" s="12" t="n">
        <f aca="false">VLOOKUP($B$4,FamilyTable,6,FALSE())</f>
        <v>0.16</v>
      </c>
      <c r="E10" s="13" t="n">
        <f aca="false">C10*D10</f>
        <v>0.16</v>
      </c>
      <c r="F10" s="14" t="s">
        <v>43</v>
      </c>
    </row>
    <row r="11" customFormat="false" ht="15" hidden="false" customHeight="false" outlineLevel="0" collapsed="false">
      <c r="A11" s="9" t="n">
        <v>4</v>
      </c>
      <c r="B11" s="10" t="s">
        <v>46</v>
      </c>
      <c r="C11" s="11" t="n">
        <v>1</v>
      </c>
      <c r="D11" s="12" t="n">
        <f aca="false">VLOOKUP($B$4,FamilyTable,7,FALSE())</f>
        <v>0.14</v>
      </c>
      <c r="E11" s="13" t="n">
        <f aca="false">C11*D11</f>
        <v>0.14</v>
      </c>
      <c r="F11" s="14" t="s">
        <v>43</v>
      </c>
    </row>
    <row r="12" customFormat="false" ht="15" hidden="false" customHeight="false" outlineLevel="0" collapsed="false">
      <c r="A12" s="9" t="n">
        <v>5</v>
      </c>
      <c r="B12" s="10" t="s">
        <v>47</v>
      </c>
      <c r="C12" s="11" t="n">
        <v>1</v>
      </c>
      <c r="D12" s="12" t="n">
        <f aca="false">VLOOKUP($B$4,FamilyTable,8,FALSE())</f>
        <v>0.06</v>
      </c>
      <c r="E12" s="13" t="n">
        <f aca="false">C12*D12</f>
        <v>0.06</v>
      </c>
      <c r="F12" s="14" t="s">
        <v>43</v>
      </c>
    </row>
    <row r="13" customFormat="false" ht="15" hidden="false" customHeight="false" outlineLevel="0" collapsed="false">
      <c r="A13" s="9" t="n">
        <v>6</v>
      </c>
      <c r="B13" s="10" t="s">
        <v>48</v>
      </c>
      <c r="C13" s="11" t="n">
        <v>1</v>
      </c>
      <c r="D13" s="12" t="n">
        <f aca="false">VLOOKUP($B$4,FamilyTable,9,FALSE())</f>
        <v>0.08</v>
      </c>
      <c r="E13" s="13" t="n">
        <f aca="false">C13*D13</f>
        <v>0.08</v>
      </c>
      <c r="F13" s="14" t="s">
        <v>43</v>
      </c>
    </row>
    <row r="14" customFormat="false" ht="15" hidden="false" customHeight="false" outlineLevel="0" collapsed="false">
      <c r="A14" s="9" t="n">
        <v>7</v>
      </c>
      <c r="B14" s="10" t="s">
        <v>49</v>
      </c>
      <c r="C14" s="11" t="n">
        <v>1</v>
      </c>
      <c r="D14" s="12" t="n">
        <f aca="false">VLOOKUP($B$4,FamilyTable,10,FALSE())</f>
        <v>0.1</v>
      </c>
      <c r="E14" s="13" t="n">
        <f aca="false">C14*D14</f>
        <v>0.1</v>
      </c>
      <c r="F14" s="14" t="s">
        <v>43</v>
      </c>
    </row>
    <row r="15" customFormat="false" ht="15" hidden="false" customHeight="false" outlineLevel="0" collapsed="false">
      <c r="B15" s="15" t="s">
        <v>50</v>
      </c>
      <c r="D15" s="13" t="n">
        <f aca="false">SUM(D8:D14)</f>
        <v>1</v>
      </c>
      <c r="E15" s="13" t="n">
        <f aca="false">SUM(E8:E14)</f>
        <v>1</v>
      </c>
    </row>
    <row r="16" customFormat="false" ht="15" hidden="false" customHeight="false" outlineLevel="0" collapsed="false">
      <c r="B16" s="15" t="s">
        <v>51</v>
      </c>
      <c r="E16" s="13" t="n">
        <f aca="false">MAX(1,MIN(5,E15*B5))</f>
        <v>1</v>
      </c>
    </row>
    <row r="18" customFormat="false" ht="17.35" hidden="false" customHeight="false" outlineLevel="0" collapsed="false">
      <c r="B18" s="16" t="s">
        <v>52</v>
      </c>
      <c r="E18" s="17" t="n">
        <f aca="false">IF(E16&gt;=4.5,5,IF(E16&gt;=3.5,4,IF(E16&gt;=2.5,3,IF(E16&gt;=1.5,2,1))))</f>
        <v>1</v>
      </c>
    </row>
    <row r="19" customFormat="false" ht="15" hidden="false" customHeight="false" outlineLevel="0" collapsed="false">
      <c r="B19" s="15" t="s">
        <v>53</v>
      </c>
      <c r="E19" s="18" t="str">
        <f aca="false">IF(E18=5,"≥ 80%",IF(E18=4,"60–80%",IF(E18=3,"40–60%",IF(E18=2,"20–40%","&lt; 20%"))))</f>
        <v>&lt; 20%</v>
      </c>
    </row>
  </sheetData>
  <mergeCells count="3">
    <mergeCell ref="A1:F1"/>
    <mergeCell ref="A2:F2"/>
    <mergeCell ref="B4:D4"/>
  </mergeCells>
  <dataValidations count="2">
    <dataValidation allowBlank="false" errorStyle="stop" operator="between" showDropDown="false" showErrorMessage="false" showInputMessage="false" sqref="B4" type="list">
      <formula1>FamilyNames</formula1>
      <formula2>0</formula2>
    </dataValidation>
    <dataValidation allowBlank="false" errorStyle="stop" operator="between" showDropDown="false" showErrorMessage="false" showInputMessage="false" sqref="C8:C14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5"/>
    <col collapsed="false" customWidth="true" hidden="false" outlineLevel="0" max="3" min="3" style="0" width="5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9" t="s">
        <v>54</v>
      </c>
      <c r="B1" s="19"/>
      <c r="C1" s="19"/>
      <c r="D1" s="19"/>
      <c r="E1" s="19"/>
      <c r="F1" s="19"/>
    </row>
    <row r="3" customFormat="false" ht="15" hidden="false" customHeight="true" outlineLevel="0" collapsed="false">
      <c r="A3" s="20" t="s">
        <v>55</v>
      </c>
      <c r="B3" s="20"/>
      <c r="C3" s="20"/>
      <c r="D3" s="20"/>
    </row>
    <row r="4" customFormat="false" ht="15" hidden="false" customHeight="true" outlineLevel="0" collapsed="false">
      <c r="A4" s="8" t="s">
        <v>4</v>
      </c>
      <c r="B4" s="8" t="s">
        <v>56</v>
      </c>
      <c r="C4" s="8"/>
    </row>
    <row r="5" customFormat="false" ht="23.85" hidden="false" customHeight="true" outlineLevel="0" collapsed="false">
      <c r="A5" s="21" t="n">
        <v>5</v>
      </c>
      <c r="B5" s="22" t="s">
        <v>57</v>
      </c>
      <c r="C5" s="22"/>
      <c r="D5" s="23" t="s">
        <v>58</v>
      </c>
    </row>
    <row r="6" customFormat="false" ht="23.85" hidden="false" customHeight="true" outlineLevel="0" collapsed="false">
      <c r="A6" s="21" t="n">
        <v>4</v>
      </c>
      <c r="B6" s="22" t="s">
        <v>59</v>
      </c>
      <c r="C6" s="22"/>
      <c r="D6" s="23" t="s">
        <v>60</v>
      </c>
    </row>
    <row r="7" customFormat="false" ht="23.85" hidden="false" customHeight="true" outlineLevel="0" collapsed="false">
      <c r="A7" s="21" t="n">
        <v>3</v>
      </c>
      <c r="B7" s="22" t="s">
        <v>61</v>
      </c>
      <c r="C7" s="22"/>
      <c r="D7" s="23" t="s">
        <v>62</v>
      </c>
    </row>
    <row r="8" customFormat="false" ht="23.85" hidden="false" customHeight="true" outlineLevel="0" collapsed="false">
      <c r="A8" s="21" t="n">
        <v>2</v>
      </c>
      <c r="B8" s="22" t="s">
        <v>63</v>
      </c>
      <c r="C8" s="22"/>
      <c r="D8" s="23" t="s">
        <v>64</v>
      </c>
    </row>
    <row r="9" customFormat="false" ht="15" hidden="false" customHeight="true" outlineLevel="0" collapsed="false">
      <c r="A9" s="21" t="n">
        <v>1</v>
      </c>
      <c r="B9" s="22" t="s">
        <v>65</v>
      </c>
      <c r="C9" s="22"/>
      <c r="D9" s="23" t="s">
        <v>66</v>
      </c>
    </row>
    <row r="11" customFormat="false" ht="15" hidden="false" customHeight="true" outlineLevel="0" collapsed="false">
      <c r="A11" s="20" t="s">
        <v>67</v>
      </c>
      <c r="B11" s="20"/>
      <c r="C11" s="20"/>
      <c r="D11" s="20"/>
    </row>
    <row r="12" customFormat="false" ht="15" hidden="false" customHeight="true" outlineLevel="0" collapsed="false">
      <c r="A12" s="8" t="s">
        <v>4</v>
      </c>
      <c r="B12" s="8" t="s">
        <v>56</v>
      </c>
      <c r="C12" s="8"/>
    </row>
    <row r="13" customFormat="false" ht="23.85" hidden="false" customHeight="true" outlineLevel="0" collapsed="false">
      <c r="A13" s="21" t="n">
        <v>5</v>
      </c>
      <c r="B13" s="22" t="s">
        <v>68</v>
      </c>
      <c r="C13" s="22"/>
      <c r="D13" s="23" t="s">
        <v>69</v>
      </c>
    </row>
    <row r="14" customFormat="false" ht="23.85" hidden="false" customHeight="true" outlineLevel="0" collapsed="false">
      <c r="A14" s="21" t="n">
        <v>4</v>
      </c>
      <c r="B14" s="22" t="s">
        <v>70</v>
      </c>
      <c r="C14" s="22"/>
      <c r="D14" s="23" t="s">
        <v>71</v>
      </c>
    </row>
    <row r="15" customFormat="false" ht="23.85" hidden="false" customHeight="true" outlineLevel="0" collapsed="false">
      <c r="A15" s="21" t="n">
        <v>3</v>
      </c>
      <c r="B15" s="22" t="s">
        <v>72</v>
      </c>
      <c r="C15" s="22"/>
      <c r="D15" s="23" t="s">
        <v>73</v>
      </c>
    </row>
    <row r="16" customFormat="false" ht="23.85" hidden="false" customHeight="true" outlineLevel="0" collapsed="false">
      <c r="A16" s="21" t="n">
        <v>2</v>
      </c>
      <c r="B16" s="22" t="s">
        <v>74</v>
      </c>
      <c r="C16" s="22"/>
      <c r="D16" s="23" t="s">
        <v>75</v>
      </c>
    </row>
    <row r="17" customFormat="false" ht="15" hidden="false" customHeight="true" outlineLevel="0" collapsed="false">
      <c r="A17" s="21" t="n">
        <v>1</v>
      </c>
      <c r="B17" s="22" t="s">
        <v>76</v>
      </c>
      <c r="C17" s="22"/>
      <c r="D17" s="23" t="s">
        <v>77</v>
      </c>
    </row>
    <row r="19" customFormat="false" ht="15" hidden="false" customHeight="true" outlineLevel="0" collapsed="false">
      <c r="A19" s="20" t="s">
        <v>78</v>
      </c>
      <c r="B19" s="20"/>
      <c r="C19" s="20"/>
      <c r="D19" s="20"/>
    </row>
    <row r="20" customFormat="false" ht="15" hidden="false" customHeight="true" outlineLevel="0" collapsed="false">
      <c r="A20" s="8" t="s">
        <v>4</v>
      </c>
      <c r="B20" s="8" t="s">
        <v>56</v>
      </c>
      <c r="C20" s="8"/>
    </row>
    <row r="21" customFormat="false" ht="23.85" hidden="false" customHeight="true" outlineLevel="0" collapsed="false">
      <c r="A21" s="21" t="n">
        <v>5</v>
      </c>
      <c r="B21" s="22" t="s">
        <v>79</v>
      </c>
      <c r="C21" s="22"/>
      <c r="D21" s="23" t="s">
        <v>80</v>
      </c>
    </row>
    <row r="22" customFormat="false" ht="23.85" hidden="false" customHeight="true" outlineLevel="0" collapsed="false">
      <c r="A22" s="21" t="n">
        <v>4</v>
      </c>
      <c r="B22" s="22" t="s">
        <v>81</v>
      </c>
      <c r="C22" s="22"/>
      <c r="D22" s="23" t="s">
        <v>82</v>
      </c>
    </row>
    <row r="23" customFormat="false" ht="15" hidden="false" customHeight="true" outlineLevel="0" collapsed="false">
      <c r="A23" s="21" t="n">
        <v>3</v>
      </c>
      <c r="B23" s="22" t="s">
        <v>83</v>
      </c>
      <c r="C23" s="22"/>
      <c r="D23" s="23" t="s">
        <v>84</v>
      </c>
    </row>
    <row r="24" customFormat="false" ht="15" hidden="false" customHeight="true" outlineLevel="0" collapsed="false">
      <c r="A24" s="21" t="n">
        <v>2</v>
      </c>
      <c r="B24" s="22" t="s">
        <v>85</v>
      </c>
      <c r="C24" s="22"/>
      <c r="D24" s="23" t="s">
        <v>86</v>
      </c>
    </row>
    <row r="25" customFormat="false" ht="23.85" hidden="false" customHeight="true" outlineLevel="0" collapsed="false">
      <c r="A25" s="21" t="n">
        <v>1</v>
      </c>
      <c r="B25" s="22" t="s">
        <v>87</v>
      </c>
      <c r="C25" s="22"/>
      <c r="D25" s="23" t="s">
        <v>88</v>
      </c>
    </row>
    <row r="27" customFormat="false" ht="15" hidden="false" customHeight="true" outlineLevel="0" collapsed="false">
      <c r="A27" s="20" t="s">
        <v>89</v>
      </c>
      <c r="B27" s="20"/>
      <c r="C27" s="20"/>
      <c r="D27" s="20"/>
    </row>
    <row r="28" customFormat="false" ht="15" hidden="false" customHeight="true" outlineLevel="0" collapsed="false">
      <c r="A28" s="8" t="s">
        <v>4</v>
      </c>
      <c r="B28" s="8" t="s">
        <v>56</v>
      </c>
      <c r="C28" s="8"/>
    </row>
    <row r="29" customFormat="false" ht="15" hidden="false" customHeight="true" outlineLevel="0" collapsed="false">
      <c r="A29" s="21" t="n">
        <v>5</v>
      </c>
      <c r="B29" s="22" t="s">
        <v>90</v>
      </c>
      <c r="C29" s="22"/>
      <c r="D29" s="23" t="s">
        <v>91</v>
      </c>
    </row>
    <row r="30" customFormat="false" ht="23.85" hidden="false" customHeight="true" outlineLevel="0" collapsed="false">
      <c r="A30" s="21" t="n">
        <v>4</v>
      </c>
      <c r="B30" s="22" t="s">
        <v>92</v>
      </c>
      <c r="C30" s="22"/>
      <c r="D30" s="23" t="s">
        <v>93</v>
      </c>
    </row>
    <row r="31" customFormat="false" ht="15" hidden="false" customHeight="true" outlineLevel="0" collapsed="false">
      <c r="A31" s="21" t="n">
        <v>3</v>
      </c>
      <c r="B31" s="22" t="s">
        <v>94</v>
      </c>
      <c r="C31" s="22"/>
      <c r="D31" s="23" t="s">
        <v>95</v>
      </c>
    </row>
    <row r="32" customFormat="false" ht="23.85" hidden="false" customHeight="true" outlineLevel="0" collapsed="false">
      <c r="A32" s="21" t="n">
        <v>2</v>
      </c>
      <c r="B32" s="22" t="s">
        <v>96</v>
      </c>
      <c r="C32" s="22"/>
      <c r="D32" s="23" t="s">
        <v>97</v>
      </c>
    </row>
    <row r="33" customFormat="false" ht="15" hidden="false" customHeight="true" outlineLevel="0" collapsed="false">
      <c r="A33" s="21" t="n">
        <v>1</v>
      </c>
      <c r="B33" s="22" t="s">
        <v>98</v>
      </c>
      <c r="C33" s="22"/>
      <c r="D33" s="23" t="s">
        <v>99</v>
      </c>
    </row>
    <row r="35" customFormat="false" ht="15" hidden="false" customHeight="true" outlineLevel="0" collapsed="false">
      <c r="A35" s="20" t="s">
        <v>100</v>
      </c>
      <c r="B35" s="20"/>
      <c r="C35" s="20"/>
      <c r="D35" s="20"/>
    </row>
    <row r="36" customFormat="false" ht="15" hidden="false" customHeight="true" outlineLevel="0" collapsed="false">
      <c r="A36" s="8" t="s">
        <v>4</v>
      </c>
      <c r="B36" s="8" t="s">
        <v>56</v>
      </c>
      <c r="C36" s="8"/>
    </row>
    <row r="37" customFormat="false" ht="23.85" hidden="false" customHeight="true" outlineLevel="0" collapsed="false">
      <c r="A37" s="21" t="n">
        <v>5</v>
      </c>
      <c r="B37" s="22" t="s">
        <v>101</v>
      </c>
      <c r="C37" s="22"/>
      <c r="D37" s="23" t="s">
        <v>102</v>
      </c>
    </row>
    <row r="38" customFormat="false" ht="23.85" hidden="false" customHeight="true" outlineLevel="0" collapsed="false">
      <c r="A38" s="21" t="n">
        <v>4</v>
      </c>
      <c r="B38" s="22" t="s">
        <v>103</v>
      </c>
      <c r="C38" s="22"/>
      <c r="D38" s="23" t="s">
        <v>104</v>
      </c>
    </row>
    <row r="39" customFormat="false" ht="15" hidden="false" customHeight="true" outlineLevel="0" collapsed="false">
      <c r="A39" s="21" t="n">
        <v>3</v>
      </c>
      <c r="B39" s="22" t="s">
        <v>105</v>
      </c>
      <c r="C39" s="22"/>
      <c r="D39" s="23" t="s">
        <v>106</v>
      </c>
    </row>
    <row r="40" customFormat="false" ht="15" hidden="false" customHeight="true" outlineLevel="0" collapsed="false">
      <c r="A40" s="21" t="n">
        <v>2</v>
      </c>
      <c r="B40" s="22" t="s">
        <v>107</v>
      </c>
      <c r="C40" s="22"/>
      <c r="D40" s="23" t="s">
        <v>108</v>
      </c>
    </row>
    <row r="41" customFormat="false" ht="15" hidden="false" customHeight="true" outlineLevel="0" collapsed="false">
      <c r="A41" s="21" t="n">
        <v>1</v>
      </c>
      <c r="B41" s="22" t="s">
        <v>109</v>
      </c>
      <c r="C41" s="22"/>
      <c r="D41" s="23" t="s">
        <v>110</v>
      </c>
    </row>
    <row r="43" customFormat="false" ht="15" hidden="false" customHeight="true" outlineLevel="0" collapsed="false">
      <c r="A43" s="20" t="s">
        <v>111</v>
      </c>
      <c r="B43" s="20"/>
      <c r="C43" s="20"/>
      <c r="D43" s="20"/>
    </row>
    <row r="44" customFormat="false" ht="15" hidden="false" customHeight="true" outlineLevel="0" collapsed="false">
      <c r="A44" s="8" t="s">
        <v>4</v>
      </c>
      <c r="B44" s="8" t="s">
        <v>56</v>
      </c>
      <c r="C44" s="8"/>
    </row>
    <row r="45" customFormat="false" ht="23.85" hidden="false" customHeight="true" outlineLevel="0" collapsed="false">
      <c r="A45" s="21" t="n">
        <v>5</v>
      </c>
      <c r="B45" s="22" t="s">
        <v>112</v>
      </c>
      <c r="C45" s="22"/>
      <c r="D45" s="23" t="s">
        <v>113</v>
      </c>
    </row>
    <row r="46" customFormat="false" ht="15" hidden="false" customHeight="true" outlineLevel="0" collapsed="false">
      <c r="A46" s="21" t="n">
        <v>4</v>
      </c>
      <c r="B46" s="22" t="s">
        <v>114</v>
      </c>
      <c r="C46" s="22"/>
      <c r="D46" s="23" t="s">
        <v>115</v>
      </c>
    </row>
    <row r="47" customFormat="false" ht="15" hidden="false" customHeight="true" outlineLevel="0" collapsed="false">
      <c r="A47" s="21" t="n">
        <v>3</v>
      </c>
      <c r="B47" s="22" t="s">
        <v>116</v>
      </c>
      <c r="C47" s="22"/>
      <c r="D47" s="23" t="s">
        <v>117</v>
      </c>
    </row>
    <row r="48" customFormat="false" ht="23.85" hidden="false" customHeight="true" outlineLevel="0" collapsed="false">
      <c r="A48" s="21" t="n">
        <v>2</v>
      </c>
      <c r="B48" s="22" t="s">
        <v>118</v>
      </c>
      <c r="C48" s="22"/>
      <c r="D48" s="23" t="s">
        <v>119</v>
      </c>
    </row>
    <row r="49" customFormat="false" ht="15" hidden="false" customHeight="true" outlineLevel="0" collapsed="false">
      <c r="A49" s="21" t="n">
        <v>1</v>
      </c>
      <c r="B49" s="22" t="s">
        <v>120</v>
      </c>
      <c r="C49" s="22"/>
      <c r="D49" s="23" t="s">
        <v>121</v>
      </c>
    </row>
    <row r="51" customFormat="false" ht="15" hidden="false" customHeight="true" outlineLevel="0" collapsed="false">
      <c r="A51" s="20" t="s">
        <v>122</v>
      </c>
      <c r="B51" s="20"/>
      <c r="C51" s="20"/>
      <c r="D51" s="20"/>
    </row>
    <row r="52" customFormat="false" ht="15" hidden="false" customHeight="true" outlineLevel="0" collapsed="false">
      <c r="A52" s="8" t="s">
        <v>4</v>
      </c>
      <c r="B52" s="8" t="s">
        <v>56</v>
      </c>
      <c r="C52" s="8"/>
    </row>
    <row r="53" customFormat="false" ht="15" hidden="false" customHeight="true" outlineLevel="0" collapsed="false">
      <c r="A53" s="21" t="n">
        <v>5</v>
      </c>
      <c r="B53" s="22" t="s">
        <v>123</v>
      </c>
      <c r="C53" s="22"/>
      <c r="D53" s="23" t="s">
        <v>124</v>
      </c>
    </row>
    <row r="54" customFormat="false" ht="15" hidden="false" customHeight="true" outlineLevel="0" collapsed="false">
      <c r="A54" s="21" t="n">
        <v>4</v>
      </c>
      <c r="B54" s="22" t="s">
        <v>125</v>
      </c>
      <c r="C54" s="22"/>
      <c r="D54" s="23" t="s">
        <v>126</v>
      </c>
    </row>
    <row r="55" customFormat="false" ht="15" hidden="false" customHeight="true" outlineLevel="0" collapsed="false">
      <c r="A55" s="21" t="n">
        <v>3</v>
      </c>
      <c r="B55" s="22" t="s">
        <v>127</v>
      </c>
      <c r="C55" s="22"/>
      <c r="D55" s="23" t="s">
        <v>128</v>
      </c>
    </row>
    <row r="56" customFormat="false" ht="23.85" hidden="false" customHeight="true" outlineLevel="0" collapsed="false">
      <c r="A56" s="21" t="n">
        <v>2</v>
      </c>
      <c r="B56" s="22" t="s">
        <v>129</v>
      </c>
      <c r="C56" s="22"/>
      <c r="D56" s="23" t="s">
        <v>130</v>
      </c>
    </row>
    <row r="57" customFormat="false" ht="15" hidden="false" customHeight="true" outlineLevel="0" collapsed="false">
      <c r="A57" s="21" t="n">
        <v>1</v>
      </c>
      <c r="B57" s="22" t="s">
        <v>131</v>
      </c>
      <c r="C57" s="22"/>
      <c r="D57" s="23" t="s">
        <v>132</v>
      </c>
    </row>
  </sheetData>
  <mergeCells count="50">
    <mergeCell ref="A1:F1"/>
    <mergeCell ref="A3:D3"/>
    <mergeCell ref="B4:C4"/>
    <mergeCell ref="B5:C5"/>
    <mergeCell ref="B6:C6"/>
    <mergeCell ref="B7:C7"/>
    <mergeCell ref="B8:C8"/>
    <mergeCell ref="B9:C9"/>
    <mergeCell ref="A11:D11"/>
    <mergeCell ref="B12:C12"/>
    <mergeCell ref="B13:C13"/>
    <mergeCell ref="B14:C14"/>
    <mergeCell ref="B15:C15"/>
    <mergeCell ref="B16:C16"/>
    <mergeCell ref="B17:C17"/>
    <mergeCell ref="A19:D19"/>
    <mergeCell ref="B20:C20"/>
    <mergeCell ref="B21:C21"/>
    <mergeCell ref="B22:C22"/>
    <mergeCell ref="B23:C23"/>
    <mergeCell ref="B24:C24"/>
    <mergeCell ref="B25:C25"/>
    <mergeCell ref="A27:D27"/>
    <mergeCell ref="B28:C28"/>
    <mergeCell ref="B29:C29"/>
    <mergeCell ref="B30:C30"/>
    <mergeCell ref="B31:C31"/>
    <mergeCell ref="B32:C32"/>
    <mergeCell ref="B33:C33"/>
    <mergeCell ref="A35:D35"/>
    <mergeCell ref="B36:C36"/>
    <mergeCell ref="B37:C37"/>
    <mergeCell ref="B38:C38"/>
    <mergeCell ref="B39:C39"/>
    <mergeCell ref="B40:C40"/>
    <mergeCell ref="B41:C41"/>
    <mergeCell ref="A43:D43"/>
    <mergeCell ref="B44:C44"/>
    <mergeCell ref="B45:C45"/>
    <mergeCell ref="B46:C46"/>
    <mergeCell ref="B47:C47"/>
    <mergeCell ref="B48:C48"/>
    <mergeCell ref="B49:C49"/>
    <mergeCell ref="A51:D51"/>
    <mergeCell ref="B52:C52"/>
    <mergeCell ref="B53:C53"/>
    <mergeCell ref="B54:C54"/>
    <mergeCell ref="B55:C55"/>
    <mergeCell ref="B56:C56"/>
    <mergeCell ref="B57:C57"/>
  </mergeCells>
  <conditionalFormatting sqref="A1:A200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9" min="3" style="0" width="8"/>
    <col collapsed="false" customWidth="true" hidden="false" outlineLevel="0" max="10" min="10" style="0" width="11"/>
    <col collapsed="false" customWidth="true" hidden="false" outlineLevel="0" max="11" min="11" style="0" width="55"/>
  </cols>
  <sheetData>
    <row r="1" customFormat="false" ht="17.35" hidden="false" customHeight="false" outlineLevel="0" collapsed="false">
      <c r="A1" s="19" t="s">
        <v>133</v>
      </c>
      <c r="B1" s="19"/>
      <c r="C1" s="19"/>
      <c r="D1" s="19"/>
      <c r="E1" s="19"/>
      <c r="F1" s="19"/>
      <c r="G1" s="19"/>
      <c r="H1" s="19"/>
      <c r="I1" s="19"/>
      <c r="J1" s="19"/>
    </row>
    <row r="2" customFormat="false" ht="31.5" hidden="false" customHeight="true" outlineLevel="0" collapsed="false">
      <c r="A2" s="24" t="s">
        <v>134</v>
      </c>
      <c r="B2" s="24"/>
      <c r="C2" s="24"/>
      <c r="D2" s="24"/>
      <c r="E2" s="24"/>
      <c r="F2" s="24"/>
      <c r="G2" s="24"/>
      <c r="H2" s="24"/>
      <c r="I2" s="24"/>
      <c r="J2" s="24"/>
    </row>
    <row r="4" customFormat="false" ht="39.55" hidden="false" customHeight="false" outlineLevel="0" collapsed="false">
      <c r="A4" s="25" t="s">
        <v>135</v>
      </c>
      <c r="B4" s="25" t="s">
        <v>136</v>
      </c>
      <c r="C4" s="25" t="s">
        <v>137</v>
      </c>
      <c r="D4" s="25" t="s">
        <v>138</v>
      </c>
      <c r="E4" s="25" t="s">
        <v>139</v>
      </c>
      <c r="F4" s="25" t="s">
        <v>140</v>
      </c>
      <c r="G4" s="25" t="s">
        <v>141</v>
      </c>
      <c r="H4" s="25" t="s">
        <v>142</v>
      </c>
      <c r="I4" s="25" t="s">
        <v>143</v>
      </c>
      <c r="J4" s="25" t="s">
        <v>144</v>
      </c>
      <c r="K4" s="25" t="s">
        <v>145</v>
      </c>
    </row>
    <row r="5" customFormat="false" ht="23.85" hidden="false" customHeight="false" outlineLevel="0" collapsed="false">
      <c r="A5" s="10" t="s">
        <v>146</v>
      </c>
      <c r="B5" s="10" t="s">
        <v>147</v>
      </c>
      <c r="C5" s="21" t="n">
        <v>1</v>
      </c>
      <c r="D5" s="21" t="n">
        <v>2</v>
      </c>
      <c r="E5" s="21" t="n">
        <v>1</v>
      </c>
      <c r="F5" s="21" t="n">
        <v>2</v>
      </c>
      <c r="G5" s="21" t="n">
        <v>1</v>
      </c>
      <c r="H5" s="21" t="n">
        <v>1</v>
      </c>
      <c r="I5" s="21" t="n">
        <v>1</v>
      </c>
      <c r="J5" s="26" t="n">
        <f aca="false">IF(MAX(1,MIN(5,(C5*VLOOKUP(B5,FamilyTable,4,FALSE()) + D5*VLOOKUP(B5,FamilyTable,5,FALSE()) + E5*VLOOKUP(B5,FamilyTable,6,FALSE()) + F5*VLOOKUP(B5,FamilyTable,7,FALSE()) + G5*VLOOKUP(B5,FamilyTable,8,FALSE()) + H5*VLOOKUP(B5,FamilyTable,9,FALSE()) + I5*VLOOKUP(B5,FamilyTable,10,FALSE()))*VLOOKUP(B5,FamilyTable,2,FALSE())))&gt;=4.5,5,IF(MAX(1,MIN(5,(C5*VLOOKUP(B5,FamilyTable,4,FALSE()) + D5*VLOOKUP(B5,FamilyTable,5,FALSE()) + E5*VLOOKUP(B5,FamilyTable,6,FALSE()) + F5*VLOOKUP(B5,FamilyTable,7,FALSE()) + G5*VLOOKUP(B5,FamilyTable,8,FALSE()) + H5*VLOOKUP(B5,FamilyTable,9,FALSE()) + I5*VLOOKUP(B5,FamilyTable,10,FALSE()))*VLOOKUP(B5,FamilyTable,2,FALSE())))&gt;=3.5,4,IF(MAX(1,MIN(5,(C5*VLOOKUP(B5,FamilyTable,4,FALSE()) + D5*VLOOKUP(B5,FamilyTable,5,FALSE()) + E5*VLOOKUP(B5,FamilyTable,6,FALSE()) + F5*VLOOKUP(B5,FamilyTable,7,FALSE()) + G5*VLOOKUP(B5,FamilyTable,8,FALSE()) + H5*VLOOKUP(B5,FamilyTable,9,FALSE()) + I5*VLOOKUP(B5,FamilyTable,10,FALSE()))*VLOOKUP(B5,FamilyTable,2,FALSE())))&gt;=2.5,3,IF(MAX(1,MIN(5,(C5*VLOOKUP(B5,FamilyTable,4,FALSE()) + D5*VLOOKUP(B5,FamilyTable,5,FALSE()) + E5*VLOOKUP(B5,FamilyTable,6,FALSE()) + F5*VLOOKUP(B5,FamilyTable,7,FALSE()) + G5*VLOOKUP(B5,FamilyTable,8,FALSE()) + H5*VLOOKUP(B5,FamilyTable,9,FALSE()) + I5*VLOOKUP(B5,FamilyTable,10,FALSE()))*VLOOKUP(B5,FamilyTable,2,FALSE())))&gt;=1.5,2,1))))</f>
        <v>1</v>
      </c>
      <c r="K5" s="23" t="s">
        <v>148</v>
      </c>
    </row>
    <row r="6" customFormat="false" ht="23.85" hidden="false" customHeight="false" outlineLevel="0" collapsed="false">
      <c r="A6" s="10" t="s">
        <v>149</v>
      </c>
      <c r="B6" s="10" t="s">
        <v>150</v>
      </c>
      <c r="C6" s="21" t="n">
        <v>1</v>
      </c>
      <c r="D6" s="21" t="n">
        <v>1</v>
      </c>
      <c r="E6" s="21" t="n">
        <v>1</v>
      </c>
      <c r="F6" s="21" t="n">
        <v>2</v>
      </c>
      <c r="G6" s="21" t="n">
        <v>5</v>
      </c>
      <c r="H6" s="21" t="n">
        <v>1</v>
      </c>
      <c r="I6" s="21" t="n">
        <v>1</v>
      </c>
      <c r="J6" s="26" t="n">
        <f aca="false">IF(MAX(1,MIN(5,(C6*VLOOKUP(B6,FamilyTable,4,FALSE()) + D6*VLOOKUP(B6,FamilyTable,5,FALSE()) + E6*VLOOKUP(B6,FamilyTable,6,FALSE()) + F6*VLOOKUP(B6,FamilyTable,7,FALSE()) + G6*VLOOKUP(B6,FamilyTable,8,FALSE()) + H6*VLOOKUP(B6,FamilyTable,9,FALSE()) + I6*VLOOKUP(B6,FamilyTable,10,FALSE()))*VLOOKUP(B6,FamilyTable,2,FALSE())))&gt;=4.5,5,IF(MAX(1,MIN(5,(C6*VLOOKUP(B6,FamilyTable,4,FALSE()) + D6*VLOOKUP(B6,FamilyTable,5,FALSE()) + E6*VLOOKUP(B6,FamilyTable,6,FALSE()) + F6*VLOOKUP(B6,FamilyTable,7,FALSE()) + G6*VLOOKUP(B6,FamilyTable,8,FALSE()) + H6*VLOOKUP(B6,FamilyTable,9,FALSE()) + I6*VLOOKUP(B6,FamilyTable,10,FALSE()))*VLOOKUP(B6,FamilyTable,2,FALSE())))&gt;=3.5,4,IF(MAX(1,MIN(5,(C6*VLOOKUP(B6,FamilyTable,4,FALSE()) + D6*VLOOKUP(B6,FamilyTable,5,FALSE()) + E6*VLOOKUP(B6,FamilyTable,6,FALSE()) + F6*VLOOKUP(B6,FamilyTable,7,FALSE()) + G6*VLOOKUP(B6,FamilyTable,8,FALSE()) + H6*VLOOKUP(B6,FamilyTable,9,FALSE()) + I6*VLOOKUP(B6,FamilyTable,10,FALSE()))*VLOOKUP(B6,FamilyTable,2,FALSE())))&gt;=2.5,3,IF(MAX(1,MIN(5,(C6*VLOOKUP(B6,FamilyTable,4,FALSE()) + D6*VLOOKUP(B6,FamilyTable,5,FALSE()) + E6*VLOOKUP(B6,FamilyTable,6,FALSE()) + F6*VLOOKUP(B6,FamilyTable,7,FALSE()) + G6*VLOOKUP(B6,FamilyTable,8,FALSE()) + H6*VLOOKUP(B6,FamilyTable,9,FALSE()) + I6*VLOOKUP(B6,FamilyTable,10,FALSE()))*VLOOKUP(B6,FamilyTable,2,FALSE())))&gt;=1.5,2,1))))</f>
        <v>1</v>
      </c>
      <c r="K6" s="23" t="s">
        <v>151</v>
      </c>
    </row>
    <row r="7" customFormat="false" ht="23.85" hidden="false" customHeight="false" outlineLevel="0" collapsed="false">
      <c r="A7" s="10" t="s">
        <v>152</v>
      </c>
      <c r="B7" s="10" t="s">
        <v>35</v>
      </c>
      <c r="C7" s="21" t="n">
        <v>4</v>
      </c>
      <c r="D7" s="21" t="n">
        <v>4</v>
      </c>
      <c r="E7" s="21" t="n">
        <v>4</v>
      </c>
      <c r="F7" s="21" t="n">
        <v>4</v>
      </c>
      <c r="G7" s="21" t="n">
        <v>3</v>
      </c>
      <c r="H7" s="21" t="n">
        <v>4</v>
      </c>
      <c r="I7" s="21" t="n">
        <v>4</v>
      </c>
      <c r="J7" s="26" t="n">
        <f aca="false">IF(MAX(1,MIN(5,(C7*VLOOKUP(B7,FamilyTable,4,FALSE()) + D7*VLOOKUP(B7,FamilyTable,5,FALSE()) + E7*VLOOKUP(B7,FamilyTable,6,FALSE()) + F7*VLOOKUP(B7,FamilyTable,7,FALSE()) + G7*VLOOKUP(B7,FamilyTable,8,FALSE()) + H7*VLOOKUP(B7,FamilyTable,9,FALSE()) + I7*VLOOKUP(B7,FamilyTable,10,FALSE()))*VLOOKUP(B7,FamilyTable,2,FALSE())))&gt;=4.5,5,IF(MAX(1,MIN(5,(C7*VLOOKUP(B7,FamilyTable,4,FALSE()) + D7*VLOOKUP(B7,FamilyTable,5,FALSE()) + E7*VLOOKUP(B7,FamilyTable,6,FALSE()) + F7*VLOOKUP(B7,FamilyTable,7,FALSE()) + G7*VLOOKUP(B7,FamilyTable,8,FALSE()) + H7*VLOOKUP(B7,FamilyTable,9,FALSE()) + I7*VLOOKUP(B7,FamilyTable,10,FALSE()))*VLOOKUP(B7,FamilyTable,2,FALSE())))&gt;=3.5,4,IF(MAX(1,MIN(5,(C7*VLOOKUP(B7,FamilyTable,4,FALSE()) + D7*VLOOKUP(B7,FamilyTable,5,FALSE()) + E7*VLOOKUP(B7,FamilyTable,6,FALSE()) + F7*VLOOKUP(B7,FamilyTable,7,FALSE()) + G7*VLOOKUP(B7,FamilyTable,8,FALSE()) + H7*VLOOKUP(B7,FamilyTable,9,FALSE()) + I7*VLOOKUP(B7,FamilyTable,10,FALSE()))*VLOOKUP(B7,FamilyTable,2,FALSE())))&gt;=2.5,3,IF(MAX(1,MIN(5,(C7*VLOOKUP(B7,FamilyTable,4,FALSE()) + D7*VLOOKUP(B7,FamilyTable,5,FALSE()) + E7*VLOOKUP(B7,FamilyTable,6,FALSE()) + F7*VLOOKUP(B7,FamilyTable,7,FALSE()) + G7*VLOOKUP(B7,FamilyTable,8,FALSE()) + H7*VLOOKUP(B7,FamilyTable,9,FALSE()) + I7*VLOOKUP(B7,FamilyTable,10,FALSE()))*VLOOKUP(B7,FamilyTable,2,FALSE())))&gt;=1.5,2,1))))</f>
        <v>4</v>
      </c>
      <c r="K7" s="23" t="s">
        <v>153</v>
      </c>
    </row>
    <row r="8" customFormat="false" ht="23.85" hidden="false" customHeight="false" outlineLevel="0" collapsed="false">
      <c r="A8" s="10" t="s">
        <v>154</v>
      </c>
      <c r="B8" s="10" t="s">
        <v>155</v>
      </c>
      <c r="C8" s="21" t="n">
        <v>3</v>
      </c>
      <c r="D8" s="21" t="n">
        <v>3</v>
      </c>
      <c r="E8" s="21" t="n">
        <v>2</v>
      </c>
      <c r="F8" s="21" t="n">
        <v>4</v>
      </c>
      <c r="G8" s="21" t="n">
        <v>3</v>
      </c>
      <c r="H8" s="21" t="n">
        <v>4</v>
      </c>
      <c r="I8" s="21" t="n">
        <v>3</v>
      </c>
      <c r="J8" s="26" t="n">
        <f aca="false">IF(MAX(1,MIN(5,(C8*VLOOKUP(B8,FamilyTable,4,FALSE()) + D8*VLOOKUP(B8,FamilyTable,5,FALSE()) + E8*VLOOKUP(B8,FamilyTable,6,FALSE()) + F8*VLOOKUP(B8,FamilyTable,7,FALSE()) + G8*VLOOKUP(B8,FamilyTable,8,FALSE()) + H8*VLOOKUP(B8,FamilyTable,9,FALSE()) + I8*VLOOKUP(B8,FamilyTable,10,FALSE()))*VLOOKUP(B8,FamilyTable,2,FALSE())))&gt;=4.5,5,IF(MAX(1,MIN(5,(C8*VLOOKUP(B8,FamilyTable,4,FALSE()) + D8*VLOOKUP(B8,FamilyTable,5,FALSE()) + E8*VLOOKUP(B8,FamilyTable,6,FALSE()) + F8*VLOOKUP(B8,FamilyTable,7,FALSE()) + G8*VLOOKUP(B8,FamilyTable,8,FALSE()) + H8*VLOOKUP(B8,FamilyTable,9,FALSE()) + I8*VLOOKUP(B8,FamilyTable,10,FALSE()))*VLOOKUP(B8,FamilyTable,2,FALSE())))&gt;=3.5,4,IF(MAX(1,MIN(5,(C8*VLOOKUP(B8,FamilyTable,4,FALSE()) + D8*VLOOKUP(B8,FamilyTable,5,FALSE()) + E8*VLOOKUP(B8,FamilyTable,6,FALSE()) + F8*VLOOKUP(B8,FamilyTable,7,FALSE()) + G8*VLOOKUP(B8,FamilyTable,8,FALSE()) + H8*VLOOKUP(B8,FamilyTable,9,FALSE()) + I8*VLOOKUP(B8,FamilyTable,10,FALSE()))*VLOOKUP(B8,FamilyTable,2,FALSE())))&gt;=2.5,3,IF(MAX(1,MIN(5,(C8*VLOOKUP(B8,FamilyTable,4,FALSE()) + D8*VLOOKUP(B8,FamilyTable,5,FALSE()) + E8*VLOOKUP(B8,FamilyTable,6,FALSE()) + F8*VLOOKUP(B8,FamilyTable,7,FALSE()) + G8*VLOOKUP(B8,FamilyTable,8,FALSE()) + H8*VLOOKUP(B8,FamilyTable,9,FALSE()) + I8*VLOOKUP(B8,FamilyTable,10,FALSE()))*VLOOKUP(B8,FamilyTable,2,FALSE())))&gt;=1.5,2,1))))</f>
        <v>2</v>
      </c>
      <c r="K8" s="23" t="s">
        <v>156</v>
      </c>
    </row>
    <row r="9" customFormat="false" ht="23.85" hidden="false" customHeight="false" outlineLevel="0" collapsed="false">
      <c r="A9" s="10" t="s">
        <v>157</v>
      </c>
      <c r="B9" s="10" t="s">
        <v>158</v>
      </c>
      <c r="C9" s="21" t="n">
        <v>5</v>
      </c>
      <c r="D9" s="21" t="n">
        <v>5</v>
      </c>
      <c r="E9" s="21" t="n">
        <v>5</v>
      </c>
      <c r="F9" s="21" t="n">
        <v>4</v>
      </c>
      <c r="G9" s="21" t="n">
        <v>5</v>
      </c>
      <c r="H9" s="21" t="n">
        <v>4</v>
      </c>
      <c r="I9" s="21" t="n">
        <v>5</v>
      </c>
      <c r="J9" s="26" t="n">
        <f aca="false">IF(MAX(1,MIN(5,(C9*VLOOKUP(B9,FamilyTable,4,FALSE()) + D9*VLOOKUP(B9,FamilyTable,5,FALSE()) + E9*VLOOKUP(B9,FamilyTable,6,FALSE()) + F9*VLOOKUP(B9,FamilyTable,7,FALSE()) + G9*VLOOKUP(B9,FamilyTable,8,FALSE()) + H9*VLOOKUP(B9,FamilyTable,9,FALSE()) + I9*VLOOKUP(B9,FamilyTable,10,FALSE()))*VLOOKUP(B9,FamilyTable,2,FALSE())))&gt;=4.5,5,IF(MAX(1,MIN(5,(C9*VLOOKUP(B9,FamilyTable,4,FALSE()) + D9*VLOOKUP(B9,FamilyTable,5,FALSE()) + E9*VLOOKUP(B9,FamilyTable,6,FALSE()) + F9*VLOOKUP(B9,FamilyTable,7,FALSE()) + G9*VLOOKUP(B9,FamilyTable,8,FALSE()) + H9*VLOOKUP(B9,FamilyTable,9,FALSE()) + I9*VLOOKUP(B9,FamilyTable,10,FALSE()))*VLOOKUP(B9,FamilyTable,2,FALSE())))&gt;=3.5,4,IF(MAX(1,MIN(5,(C9*VLOOKUP(B9,FamilyTable,4,FALSE()) + D9*VLOOKUP(B9,FamilyTable,5,FALSE()) + E9*VLOOKUP(B9,FamilyTable,6,FALSE()) + F9*VLOOKUP(B9,FamilyTable,7,FALSE()) + G9*VLOOKUP(B9,FamilyTable,8,FALSE()) + H9*VLOOKUP(B9,FamilyTable,9,FALSE()) + I9*VLOOKUP(B9,FamilyTable,10,FALSE()))*VLOOKUP(B9,FamilyTable,2,FALSE())))&gt;=2.5,3,IF(MAX(1,MIN(5,(C9*VLOOKUP(B9,FamilyTable,4,FALSE()) + D9*VLOOKUP(B9,FamilyTable,5,FALSE()) + E9*VLOOKUP(B9,FamilyTable,6,FALSE()) + F9*VLOOKUP(B9,FamilyTable,7,FALSE()) + G9*VLOOKUP(B9,FamilyTable,8,FALSE()) + H9*VLOOKUP(B9,FamilyTable,9,FALSE()) + I9*VLOOKUP(B9,FamilyTable,10,FALSE()))*VLOOKUP(B9,FamilyTable,2,FALSE())))&gt;=1.5,2,1))))</f>
        <v>5</v>
      </c>
      <c r="K9" s="23" t="s">
        <v>159</v>
      </c>
    </row>
    <row r="10" customFormat="false" ht="23.85" hidden="false" customHeight="false" outlineLevel="0" collapsed="false">
      <c r="A10" s="10" t="s">
        <v>160</v>
      </c>
      <c r="B10" s="10" t="s">
        <v>161</v>
      </c>
      <c r="C10" s="21" t="n">
        <v>4</v>
      </c>
      <c r="D10" s="21" t="n">
        <v>5</v>
      </c>
      <c r="E10" s="21" t="n">
        <v>4</v>
      </c>
      <c r="F10" s="21" t="n">
        <v>4</v>
      </c>
      <c r="G10" s="21" t="n">
        <v>4</v>
      </c>
      <c r="H10" s="21" t="n">
        <v>4</v>
      </c>
      <c r="I10" s="21" t="n">
        <v>4</v>
      </c>
      <c r="J10" s="26" t="n">
        <f aca="false">IF(MAX(1,MIN(5,(C10*VLOOKUP(B10,FamilyTable,4,FALSE()) + D10*VLOOKUP(B10,FamilyTable,5,FALSE()) + E10*VLOOKUP(B10,FamilyTable,6,FALSE()) + F10*VLOOKUP(B10,FamilyTable,7,FALSE()) + G10*VLOOKUP(B10,FamilyTable,8,FALSE()) + H10*VLOOKUP(B10,FamilyTable,9,FALSE()) + I10*VLOOKUP(B10,FamilyTable,10,FALSE()))*VLOOKUP(B10,FamilyTable,2,FALSE())))&gt;=4.5,5,IF(MAX(1,MIN(5,(C10*VLOOKUP(B10,FamilyTable,4,FALSE()) + D10*VLOOKUP(B10,FamilyTable,5,FALSE()) + E10*VLOOKUP(B10,FamilyTable,6,FALSE()) + F10*VLOOKUP(B10,FamilyTable,7,FALSE()) + G10*VLOOKUP(B10,FamilyTable,8,FALSE()) + H10*VLOOKUP(B10,FamilyTable,9,FALSE()) + I10*VLOOKUP(B10,FamilyTable,10,FALSE()))*VLOOKUP(B10,FamilyTable,2,FALSE())))&gt;=3.5,4,IF(MAX(1,MIN(5,(C10*VLOOKUP(B10,FamilyTable,4,FALSE()) + D10*VLOOKUP(B10,FamilyTable,5,FALSE()) + E10*VLOOKUP(B10,FamilyTable,6,FALSE()) + F10*VLOOKUP(B10,FamilyTable,7,FALSE()) + G10*VLOOKUP(B10,FamilyTable,8,FALSE()) + H10*VLOOKUP(B10,FamilyTable,9,FALSE()) + I10*VLOOKUP(B10,FamilyTable,10,FALSE()))*VLOOKUP(B10,FamilyTable,2,FALSE())))&gt;=2.5,3,IF(MAX(1,MIN(5,(C10*VLOOKUP(B10,FamilyTable,4,FALSE()) + D10*VLOOKUP(B10,FamilyTable,5,FALSE()) + E10*VLOOKUP(B10,FamilyTable,6,FALSE()) + F10*VLOOKUP(B10,FamilyTable,7,FALSE()) + G10*VLOOKUP(B10,FamilyTable,8,FALSE()) + H10*VLOOKUP(B10,FamilyTable,9,FALSE()) + I10*VLOOKUP(B10,FamilyTable,10,FALSE()))*VLOOKUP(B10,FamilyTable,2,FALSE())))&gt;=1.5,2,1))))</f>
        <v>5</v>
      </c>
      <c r="K10" s="23" t="s">
        <v>162</v>
      </c>
    </row>
  </sheetData>
  <mergeCells count="2">
    <mergeCell ref="A1:J1"/>
    <mergeCell ref="A2:J2"/>
  </mergeCells>
  <conditionalFormatting sqref="J5:J10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11" min="4" style="0" width="10"/>
  </cols>
  <sheetData>
    <row r="1" customFormat="false" ht="17.35" hidden="false" customHeight="false" outlineLevel="0" collapsed="false">
      <c r="A1" s="19" t="s">
        <v>163</v>
      </c>
      <c r="B1" s="19"/>
      <c r="C1" s="19"/>
      <c r="D1" s="19"/>
      <c r="E1" s="19"/>
      <c r="F1" s="19"/>
      <c r="G1" s="19"/>
      <c r="H1" s="19"/>
      <c r="I1" s="19"/>
      <c r="J1" s="19"/>
    </row>
    <row r="2" customFormat="false" ht="60" hidden="false" customHeight="true" outlineLevel="0" collapsed="false">
      <c r="A2" s="24" t="s">
        <v>164</v>
      </c>
      <c r="B2" s="24"/>
      <c r="C2" s="24"/>
      <c r="D2" s="24"/>
      <c r="E2" s="24"/>
      <c r="F2" s="24"/>
      <c r="G2" s="24"/>
      <c r="H2" s="24"/>
      <c r="I2" s="24"/>
      <c r="J2" s="24"/>
    </row>
    <row r="4" customFormat="false" ht="39.55" hidden="false" customHeight="false" outlineLevel="0" collapsed="false">
      <c r="A4" s="25" t="s">
        <v>165</v>
      </c>
      <c r="B4" s="25" t="s">
        <v>166</v>
      </c>
      <c r="C4" s="25" t="s">
        <v>167</v>
      </c>
      <c r="D4" s="25" t="s">
        <v>168</v>
      </c>
      <c r="E4" s="25" t="s">
        <v>169</v>
      </c>
      <c r="F4" s="25" t="s">
        <v>170</v>
      </c>
      <c r="G4" s="25" t="s">
        <v>171</v>
      </c>
      <c r="H4" s="25" t="s">
        <v>172</v>
      </c>
      <c r="I4" s="25" t="s">
        <v>173</v>
      </c>
      <c r="J4" s="25" t="s">
        <v>174</v>
      </c>
      <c r="K4" s="25" t="s">
        <v>175</v>
      </c>
    </row>
    <row r="5" customFormat="false" ht="35.05" hidden="false" customHeight="false" outlineLevel="0" collapsed="false">
      <c r="A5" s="10" t="s">
        <v>35</v>
      </c>
      <c r="B5" s="27" t="n">
        <v>1</v>
      </c>
      <c r="C5" s="23" t="s">
        <v>176</v>
      </c>
      <c r="D5" s="28" t="n">
        <v>0.18</v>
      </c>
      <c r="E5" s="28" t="n">
        <v>0.28</v>
      </c>
      <c r="F5" s="28" t="n">
        <v>0.16</v>
      </c>
      <c r="G5" s="28" t="n">
        <v>0.14</v>
      </c>
      <c r="H5" s="28" t="n">
        <v>0.06</v>
      </c>
      <c r="I5" s="28" t="n">
        <v>0.08</v>
      </c>
      <c r="J5" s="28" t="n">
        <v>0.1</v>
      </c>
      <c r="K5" s="29" t="n">
        <f aca="false">SUM(D5:J5)</f>
        <v>1</v>
      </c>
    </row>
    <row r="6" customFormat="false" ht="23.85" hidden="false" customHeight="false" outlineLevel="0" collapsed="false">
      <c r="A6" s="10" t="s">
        <v>147</v>
      </c>
      <c r="B6" s="27" t="n">
        <v>0.85</v>
      </c>
      <c r="C6" s="23" t="s">
        <v>177</v>
      </c>
      <c r="D6" s="28" t="n">
        <v>0.2</v>
      </c>
      <c r="E6" s="28" t="n">
        <v>0.26</v>
      </c>
      <c r="F6" s="28" t="n">
        <v>0.14</v>
      </c>
      <c r="G6" s="28" t="n">
        <v>0.14</v>
      </c>
      <c r="H6" s="28" t="n">
        <v>0.08</v>
      </c>
      <c r="I6" s="28" t="n">
        <v>0.08</v>
      </c>
      <c r="J6" s="28" t="n">
        <v>0.1</v>
      </c>
      <c r="K6" s="29" t="n">
        <f aca="false">SUM(D6:J6)</f>
        <v>1</v>
      </c>
    </row>
    <row r="7" customFormat="false" ht="23.85" hidden="false" customHeight="false" outlineLevel="0" collapsed="false">
      <c r="A7" s="10" t="s">
        <v>178</v>
      </c>
      <c r="B7" s="27" t="n">
        <v>0.95</v>
      </c>
      <c r="C7" s="23" t="s">
        <v>179</v>
      </c>
      <c r="D7" s="28" t="n">
        <v>0.22</v>
      </c>
      <c r="E7" s="28" t="n">
        <v>0.26</v>
      </c>
      <c r="F7" s="28" t="n">
        <v>0.14</v>
      </c>
      <c r="G7" s="28" t="n">
        <v>0.14</v>
      </c>
      <c r="H7" s="28" t="n">
        <v>0.06</v>
      </c>
      <c r="I7" s="28" t="n">
        <v>0.08</v>
      </c>
      <c r="J7" s="28" t="n">
        <v>0.1</v>
      </c>
      <c r="K7" s="29" t="n">
        <f aca="false">SUM(D7:J7)</f>
        <v>1</v>
      </c>
    </row>
    <row r="8" customFormat="false" ht="35.05" hidden="false" customHeight="false" outlineLevel="0" collapsed="false">
      <c r="A8" s="10" t="s">
        <v>155</v>
      </c>
      <c r="B8" s="27" t="n">
        <v>0.75</v>
      </c>
      <c r="C8" s="23" t="s">
        <v>180</v>
      </c>
      <c r="D8" s="28" t="n">
        <v>0.18</v>
      </c>
      <c r="E8" s="28" t="n">
        <v>0.32</v>
      </c>
      <c r="F8" s="28" t="n">
        <v>0.18</v>
      </c>
      <c r="G8" s="28" t="n">
        <v>0.12</v>
      </c>
      <c r="H8" s="28" t="n">
        <v>0.04</v>
      </c>
      <c r="I8" s="28" t="n">
        <v>0.08</v>
      </c>
      <c r="J8" s="28" t="n">
        <v>0.08</v>
      </c>
      <c r="K8" s="29" t="n">
        <f aca="false">SUM(D8:J8)</f>
        <v>1</v>
      </c>
    </row>
    <row r="9" customFormat="false" ht="23.85" hidden="false" customHeight="false" outlineLevel="0" collapsed="false">
      <c r="A9" s="10" t="s">
        <v>158</v>
      </c>
      <c r="B9" s="27" t="n">
        <v>1.15</v>
      </c>
      <c r="C9" s="23" t="s">
        <v>181</v>
      </c>
      <c r="D9" s="28" t="n">
        <v>0.2</v>
      </c>
      <c r="E9" s="28" t="n">
        <v>0.28</v>
      </c>
      <c r="F9" s="28" t="n">
        <v>0.1</v>
      </c>
      <c r="G9" s="28" t="n">
        <v>0.16</v>
      </c>
      <c r="H9" s="28" t="n">
        <v>0.04</v>
      </c>
      <c r="I9" s="28" t="n">
        <v>0.1</v>
      </c>
      <c r="J9" s="28" t="n">
        <v>0.12</v>
      </c>
      <c r="K9" s="29" t="n">
        <f aca="false">SUM(D9:J9)</f>
        <v>1</v>
      </c>
    </row>
    <row r="10" customFormat="false" ht="23.85" hidden="false" customHeight="false" outlineLevel="0" collapsed="false">
      <c r="A10" s="10" t="s">
        <v>182</v>
      </c>
      <c r="B10" s="27" t="n">
        <v>1.1</v>
      </c>
      <c r="C10" s="23" t="s">
        <v>183</v>
      </c>
      <c r="D10" s="28" t="n">
        <v>0.2</v>
      </c>
      <c r="E10" s="28" t="n">
        <v>0.28</v>
      </c>
      <c r="F10" s="28" t="n">
        <v>0.12</v>
      </c>
      <c r="G10" s="28" t="n">
        <v>0.16</v>
      </c>
      <c r="H10" s="28" t="n">
        <v>0.04</v>
      </c>
      <c r="I10" s="28" t="n">
        <v>0.1</v>
      </c>
      <c r="J10" s="28" t="n">
        <v>0.1</v>
      </c>
      <c r="K10" s="29" t="n">
        <f aca="false">SUM(D10:J10)</f>
        <v>1</v>
      </c>
    </row>
    <row r="11" customFormat="false" ht="23.85" hidden="false" customHeight="false" outlineLevel="0" collapsed="false">
      <c r="A11" s="10" t="s">
        <v>184</v>
      </c>
      <c r="B11" s="27" t="n">
        <v>1.1</v>
      </c>
      <c r="C11" s="23" t="s">
        <v>185</v>
      </c>
      <c r="D11" s="28" t="n">
        <v>0.18</v>
      </c>
      <c r="E11" s="28" t="n">
        <v>0.3</v>
      </c>
      <c r="F11" s="28" t="n">
        <v>0.1</v>
      </c>
      <c r="G11" s="28" t="n">
        <v>0.16</v>
      </c>
      <c r="H11" s="28" t="n">
        <v>0.06</v>
      </c>
      <c r="I11" s="28" t="n">
        <v>0.1</v>
      </c>
      <c r="J11" s="28" t="n">
        <v>0.1</v>
      </c>
      <c r="K11" s="29" t="n">
        <f aca="false">SUM(D11:J11)</f>
        <v>1</v>
      </c>
    </row>
    <row r="12" customFormat="false" ht="23.85" hidden="false" customHeight="false" outlineLevel="0" collapsed="false">
      <c r="A12" s="10" t="s">
        <v>161</v>
      </c>
      <c r="B12" s="27" t="n">
        <v>1.05</v>
      </c>
      <c r="C12" s="23" t="s">
        <v>186</v>
      </c>
      <c r="D12" s="28" t="n">
        <v>0.14</v>
      </c>
      <c r="E12" s="28" t="n">
        <v>0.4</v>
      </c>
      <c r="F12" s="28" t="n">
        <v>0.1</v>
      </c>
      <c r="G12" s="28" t="n">
        <v>0.12</v>
      </c>
      <c r="H12" s="28" t="n">
        <v>0.06</v>
      </c>
      <c r="I12" s="28" t="n">
        <v>0.1</v>
      </c>
      <c r="J12" s="28" t="n">
        <v>0.08</v>
      </c>
      <c r="K12" s="29" t="n">
        <f aca="false">SUM(D12:J12)</f>
        <v>1</v>
      </c>
    </row>
    <row r="13" customFormat="false" ht="23.85" hidden="false" customHeight="false" outlineLevel="0" collapsed="false">
      <c r="A13" s="10" t="s">
        <v>150</v>
      </c>
      <c r="B13" s="27" t="n">
        <v>0.8</v>
      </c>
      <c r="C13" s="23" t="s">
        <v>187</v>
      </c>
      <c r="D13" s="28" t="n">
        <v>0.14</v>
      </c>
      <c r="E13" s="28" t="n">
        <v>0.42</v>
      </c>
      <c r="F13" s="28" t="n">
        <v>0.1</v>
      </c>
      <c r="G13" s="28" t="n">
        <v>0.12</v>
      </c>
      <c r="H13" s="28" t="n">
        <v>0.06</v>
      </c>
      <c r="I13" s="28" t="n">
        <v>0.08</v>
      </c>
      <c r="J13" s="28" t="n">
        <v>0.08</v>
      </c>
      <c r="K13" s="29" t="n">
        <f aca="false">SUM(D13:J13)</f>
        <v>1</v>
      </c>
    </row>
    <row r="14" customFormat="false" ht="23.85" hidden="false" customHeight="false" outlineLevel="0" collapsed="false">
      <c r="A14" s="10" t="s">
        <v>188</v>
      </c>
      <c r="B14" s="27" t="n">
        <v>1</v>
      </c>
      <c r="C14" s="23" t="s">
        <v>189</v>
      </c>
      <c r="D14" s="28" t="n">
        <v>0.16</v>
      </c>
      <c r="E14" s="28" t="n">
        <v>0.34</v>
      </c>
      <c r="F14" s="28" t="n">
        <v>0.12</v>
      </c>
      <c r="G14" s="28" t="n">
        <v>0.14</v>
      </c>
      <c r="H14" s="28" t="n">
        <v>0.04</v>
      </c>
      <c r="I14" s="28" t="n">
        <v>0.1</v>
      </c>
      <c r="J14" s="28" t="n">
        <v>0.1</v>
      </c>
      <c r="K14" s="29" t="n">
        <f aca="false">SUM(D14:J14)</f>
        <v>1</v>
      </c>
    </row>
    <row r="15" customFormat="false" ht="23.85" hidden="false" customHeight="false" outlineLevel="0" collapsed="false">
      <c r="A15" s="10" t="s">
        <v>190</v>
      </c>
      <c r="B15" s="27" t="n">
        <v>1.2</v>
      </c>
      <c r="C15" s="23" t="s">
        <v>191</v>
      </c>
      <c r="D15" s="28" t="n">
        <v>0.18</v>
      </c>
      <c r="E15" s="28" t="n">
        <v>0.34</v>
      </c>
      <c r="F15" s="28" t="n">
        <v>0.04</v>
      </c>
      <c r="G15" s="28" t="n">
        <v>0.18</v>
      </c>
      <c r="H15" s="28" t="n">
        <v>0.02</v>
      </c>
      <c r="I15" s="28" t="n">
        <v>0.12</v>
      </c>
      <c r="J15" s="28" t="n">
        <v>0.12</v>
      </c>
      <c r="K15" s="29" t="n">
        <f aca="false">SUM(D15:J15)</f>
        <v>1</v>
      </c>
    </row>
    <row r="19" customFormat="false" ht="15" hidden="false" customHeight="false" outlineLevel="0" collapsed="false">
      <c r="A19" s="30" t="s">
        <v>192</v>
      </c>
    </row>
    <row r="20" customFormat="false" ht="15" hidden="false" customHeight="false" outlineLevel="0" collapsed="false">
      <c r="A20" s="8" t="s">
        <v>193</v>
      </c>
      <c r="B20" s="8" t="s">
        <v>4</v>
      </c>
      <c r="C20" s="8" t="s">
        <v>194</v>
      </c>
    </row>
    <row r="21" customFormat="false" ht="15" hidden="false" customHeight="false" outlineLevel="0" collapsed="false">
      <c r="A21" s="28" t="n">
        <v>4.5</v>
      </c>
      <c r="B21" s="21" t="n">
        <v>5</v>
      </c>
      <c r="C21" s="21" t="s">
        <v>195</v>
      </c>
    </row>
    <row r="22" customFormat="false" ht="15" hidden="false" customHeight="false" outlineLevel="0" collapsed="false">
      <c r="A22" s="28" t="n">
        <v>3.5</v>
      </c>
      <c r="B22" s="21" t="n">
        <v>4</v>
      </c>
      <c r="C22" s="21" t="s">
        <v>196</v>
      </c>
    </row>
    <row r="23" customFormat="false" ht="15" hidden="false" customHeight="false" outlineLevel="0" collapsed="false">
      <c r="A23" s="28" t="n">
        <v>2.5</v>
      </c>
      <c r="B23" s="21" t="n">
        <v>3</v>
      </c>
      <c r="C23" s="21" t="s">
        <v>197</v>
      </c>
    </row>
    <row r="24" customFormat="false" ht="15" hidden="false" customHeight="false" outlineLevel="0" collapsed="false">
      <c r="A24" s="28" t="n">
        <v>1.5</v>
      </c>
      <c r="B24" s="21" t="n">
        <v>2</v>
      </c>
      <c r="C24" s="21" t="s">
        <v>198</v>
      </c>
    </row>
    <row r="25" customFormat="false" ht="15" hidden="false" customHeight="false" outlineLevel="0" collapsed="false">
      <c r="A25" s="28" t="n">
        <v>1</v>
      </c>
      <c r="B25" s="21" t="n">
        <v>1</v>
      </c>
      <c r="C25" s="21" t="s">
        <v>199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2026-05-15T20:13:12Z</dcterms:created>
  <dc:creator>openpyxl</dc:creator>
  <dc:description/>
  <dc:language>en-US</dc:language>
  <cp:lastModifiedBy/>
  <dcterms:modified xsi:type="dcterms:W3CDTF">2026-05-15T20:13:12Z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